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b val="1"/>
      <i val="1"/>
      <color rgb="00000000"/>
      <sz val="9"/>
    </font>
    <font>
      <name val="Arial"/>
      <sz val="9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3" borderId="0" applyAlignment="1" pivotButton="0" quotePrefix="0" xfId="0">
      <alignment vertical="center" wrapText="1"/>
    </xf>
    <xf numFmtId="0" fontId="3" fillId="2" borderId="0" pivotButton="0" quotePrefix="0" xfId="0"/>
    <xf numFmtId="0" fontId="4" fillId="4" borderId="1" pivotButton="0" quotePrefix="0" xfId="0"/>
    <xf numFmtId="0" fontId="5" fillId="0" borderId="1" pivotButton="0" quotePrefix="0" xfId="0"/>
    <xf numFmtId="3" fontId="6" fillId="5" borderId="1" pivotButton="0" quotePrefix="0" xfId="0"/>
    <xf numFmtId="0" fontId="2" fillId="0" borderId="1" pivotButton="0" quotePrefix="0" xfId="0"/>
    <xf numFmtId="3" fontId="5" fillId="0" borderId="1" pivotButton="0" quotePrefix="0" xfId="0"/>
    <xf numFmtId="0" fontId="7" fillId="0" borderId="1" applyAlignment="1" pivotButton="0" quotePrefix="0" xfId="0">
      <alignment vertical="center" wrapText="1"/>
    </xf>
    <xf numFmtId="164" fontId="5" fillId="0" borderId="1" pivotButton="0" quotePrefix="0" xfId="0"/>
    <xf numFmtId="0" fontId="4" fillId="0" borderId="1" pivotButton="0" quotePrefix="0" xfId="0"/>
    <xf numFmtId="164" fontId="4" fillId="4" borderId="1" pivotButton="0" quotePrefix="0" xfId="0"/>
    <xf numFmtId="0" fontId="8" fillId="4" borderId="0" pivotButton="0" quotePrefix="0" xfId="0"/>
    <xf numFmtId="164" fontId="6" fillId="5" borderId="1" pivotButton="0" quotePrefix="0" xfId="0"/>
    <xf numFmtId="0" fontId="2" fillId="6" borderId="0" applyAlignment="1" pivotButton="0" quotePrefix="0" xfId="0">
      <alignment vertical="center" wrapText="1"/>
    </xf>
    <xf numFmtId="0" fontId="10" fillId="2" borderId="0" pivotButton="0" quotePrefix="0" xfId="0"/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PM</author>
  </authors>
  <commentList>
    <comment ref="B31" authorId="0" shapeId="0">
      <text>
        <t>Illustrative. Verify current price on the vendor's pricing page.</t>
      </text>
    </comment>
    <comment ref="B32" authorId="0" shapeId="0">
      <text>
        <t>Many have a free tier (0). A paid tier can be ~$70/mo.</t>
      </text>
    </comment>
    <comment ref="B33" authorId="0" shapeId="0">
      <text>
        <t>Free hobby tier = 0. A pro tier can be ~$20/mo.</t>
      </text>
    </comment>
    <comment ref="B52" authorId="0" shapeId="0">
      <text>
        <t>Illustrative small-model price. Verify.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34" customWidth="1" min="3" max="3"/>
    <col width="16" customWidth="1" min="4" max="4"/>
  </cols>
  <sheetData>
    <row r="1" ht="24" customHeight="1">
      <c r="A1" s="1" t="inlineStr">
        <is>
          <t>Codebasics Digital Asset Assistant - Cost Estimation (Step 4)</t>
        </is>
      </c>
    </row>
    <row r="2">
      <c r="A2" s="2" t="inlineStr">
        <is>
          <t>Prepared by Ushasree Jakilinki   |   Date: 2026-09-06</t>
        </is>
      </c>
    </row>
    <row r="4" ht="40" customHeight="1">
      <c r="A4" s="3" t="inlineStr">
        <is>
          <t>HOW TO USE:  Edit only the YELLOW cells (your inputs / prices to verify). White cells auto-calculate. Prices in Section C/E are ILLUSTRATIVE - confirm current prices on each vendor's pricing page.</t>
        </is>
      </c>
    </row>
    <row r="6">
      <c r="A6" s="4" t="inlineStr">
        <is>
          <t>A.  ASSUMPTIONS &amp; VOLUMES</t>
        </is>
      </c>
    </row>
    <row r="7">
      <c r="A7" s="5" t="inlineStr">
        <is>
          <t>Item</t>
        </is>
      </c>
      <c r="B7" s="5" t="inlineStr">
        <is>
          <t>Value</t>
        </is>
      </c>
      <c r="C7" s="5" t="inlineStr">
        <is>
          <t>Notes</t>
        </is>
      </c>
    </row>
    <row r="8">
      <c r="A8" s="6" t="inlineStr">
        <is>
          <t>Number of users</t>
        </is>
      </c>
      <c r="B8" s="7" t="n">
        <v>50</v>
      </c>
      <c r="C8" s="8" t="inlineStr">
        <is>
          <t>Given in the brief</t>
        </is>
      </c>
    </row>
    <row r="9">
      <c r="A9" s="6" t="inlineStr">
        <is>
          <t>Searches per user per day</t>
        </is>
      </c>
      <c r="B9" s="7" t="n">
        <v>50</v>
      </c>
      <c r="C9" s="8" t="inlineStr">
        <is>
          <t>Given in the brief</t>
        </is>
      </c>
    </row>
    <row r="10">
      <c r="A10" s="6" t="inlineStr">
        <is>
          <t>Total searches per day</t>
        </is>
      </c>
      <c r="B10" s="9">
        <f>B8*B9</f>
        <v/>
      </c>
      <c r="C10" s="8" t="inlineStr">
        <is>
          <t>auto</t>
        </is>
      </c>
    </row>
    <row r="11">
      <c r="A11" s="6" t="inlineStr">
        <is>
          <t>Working days per month</t>
        </is>
      </c>
      <c r="B11" s="7" t="n">
        <v>22</v>
      </c>
      <c r="C11" s="8" t="inlineStr">
        <is>
          <t>Assumption - edit if needed</t>
        </is>
      </c>
    </row>
    <row r="12">
      <c r="A12" s="6" t="inlineStr">
        <is>
          <t>Total searches per month</t>
        </is>
      </c>
      <c r="B12" s="9">
        <f>B10*B11</f>
        <v/>
      </c>
      <c r="C12" s="8" t="inlineStr">
        <is>
          <t>auto</t>
        </is>
      </c>
    </row>
    <row r="13">
      <c r="A13" s="6" t="inlineStr">
        <is>
          <t>Avg tokens per search query</t>
        </is>
      </c>
      <c r="B13" s="7" t="n">
        <v>50</v>
      </c>
      <c r="C13" s="8" t="inlineStr">
        <is>
          <t>A short query is ~50 tokens</t>
        </is>
      </c>
    </row>
    <row r="14">
      <c r="A14" s="6" t="inlineStr">
        <is>
          <t>Query tokens per month</t>
        </is>
      </c>
      <c r="B14" s="9">
        <f>B12*B13</f>
        <v/>
      </c>
      <c r="C14" s="8" t="inlineStr">
        <is>
          <t>auto</t>
        </is>
      </c>
    </row>
    <row r="15">
      <c r="A15" s="6" t="inlineStr">
        <is>
          <t>Assets to index (production estimate)</t>
        </is>
      </c>
      <c r="B15" s="7" t="n">
        <v>10000</v>
      </c>
      <c r="C15" s="8" t="inlineStr">
        <is>
          <t>Scales from 87 sample to thousands</t>
        </is>
      </c>
    </row>
    <row r="16">
      <c r="A16" s="6" t="inlineStr">
        <is>
          <t>Avg tokens per asset (content)</t>
        </is>
      </c>
      <c r="B16" s="7" t="n">
        <v>500</v>
      </c>
      <c r="C16" s="8" t="inlineStr">
        <is>
          <t>Text pulled from each asset</t>
        </is>
      </c>
    </row>
    <row r="17">
      <c r="A17" s="6" t="inlineStr">
        <is>
          <t>One-time index tokens</t>
        </is>
      </c>
      <c r="B17" s="9">
        <f>B15*B16</f>
        <v/>
      </c>
      <c r="C17" s="8" t="inlineStr">
        <is>
          <t>auto</t>
        </is>
      </c>
    </row>
    <row r="19">
      <c r="A19" s="17" t="inlineStr">
        <is>
          <t>B.  SOLUTION A - CHOSEN: Local / Free (open-source embeddings + Streamlit)</t>
        </is>
      </c>
    </row>
    <row r="20">
      <c r="A20" s="5" t="inlineStr">
        <is>
          <t>Component</t>
        </is>
      </c>
      <c r="B20" s="5" t="inlineStr">
        <is>
          <t>Tool</t>
        </is>
      </c>
      <c r="C20" s="5" t="inlineStr">
        <is>
          <t>Monthly Cost</t>
        </is>
      </c>
    </row>
    <row r="21">
      <c r="A21" s="6" t="inlineStr">
        <is>
          <t>Embedding model</t>
        </is>
      </c>
      <c r="B21" s="18" t="inlineStr">
        <is>
          <t>Local open-source embedding model (e.g. sentence-transformers) - runs on-device, no per-token cost</t>
        </is>
      </c>
      <c r="C21" s="11" t="n">
        <v>0</v>
      </c>
    </row>
    <row r="22">
      <c r="A22" s="6" t="inlineStr">
        <is>
          <t>Vector store</t>
        </is>
      </c>
      <c r="B22" s="10" t="inlineStr">
        <is>
          <t>In-memory / local (open source)</t>
        </is>
      </c>
      <c r="C22" s="11" t="n">
        <v>0</v>
      </c>
    </row>
    <row r="23">
      <c r="A23" s="6" t="inlineStr">
        <is>
          <t>LLM generation</t>
        </is>
      </c>
      <c r="B23" s="10" t="inlineStr">
        <is>
          <t>None - retrieval only</t>
        </is>
      </c>
      <c r="C23" s="11" t="n">
        <v>0</v>
      </c>
    </row>
    <row r="24">
      <c r="A24" s="6" t="inlineStr">
        <is>
          <t>Hosting</t>
        </is>
      </c>
      <c r="B24" s="10" t="inlineStr">
        <is>
          <t>Laptop / Streamlit Community Cloud (free tier)</t>
        </is>
      </c>
      <c r="C24" s="11" t="n">
        <v>0</v>
      </c>
    </row>
    <row r="25">
      <c r="A25" s="6" t="inlineStr">
        <is>
          <t>File-reading libraries</t>
        </is>
      </c>
      <c r="B25" s="10" t="inlineStr">
        <is>
          <t>pypdf, python-pptx, openpyxl, etc. (open source)</t>
        </is>
      </c>
      <c r="C25" s="11" t="n">
        <v>0</v>
      </c>
    </row>
    <row r="26">
      <c r="A26" s="12" t="inlineStr">
        <is>
          <t>TOTAL MONTHLY - Solution A</t>
        </is>
      </c>
      <c r="B26" s="6" t="inlineStr"/>
      <c r="C26" s="13">
        <f>SUM(C21:C25)</f>
        <v/>
      </c>
    </row>
    <row r="27">
      <c r="A27" s="12" t="inlineStr">
        <is>
          <t>TOTAL ONE-TIME - Solution A</t>
        </is>
      </c>
      <c r="B27" s="6" t="inlineStr"/>
      <c r="C27" s="13" t="n">
        <v>0</v>
      </c>
    </row>
    <row r="29">
      <c r="A29" s="4" t="inlineStr">
        <is>
          <t>C.  SOLUTION B - PAID CLOUD ALTERNATIVE (for comparison)</t>
        </is>
      </c>
    </row>
    <row r="30">
      <c r="A30" s="14" t="inlineStr">
        <is>
          <t>Unit prices (ILLUSTRATIVE - verify on vendor pricing pages)</t>
        </is>
      </c>
    </row>
    <row r="31">
      <c r="A31" s="6" t="inlineStr">
        <is>
          <t>Embedding price per 1M tokens ($)</t>
        </is>
      </c>
      <c r="B31" s="15" t="n">
        <v>0.02</v>
      </c>
    </row>
    <row r="32">
      <c r="A32" s="6" t="inlineStr">
        <is>
          <t>Managed vector DB per month ($)</t>
        </is>
      </c>
      <c r="B32" s="15" t="n">
        <v>0</v>
      </c>
    </row>
    <row r="33">
      <c r="A33" s="6" t="inlineStr">
        <is>
          <t>Cloud hosting per month ($)</t>
        </is>
      </c>
      <c r="B33" s="15" t="n">
        <v>0</v>
      </c>
    </row>
    <row r="35">
      <c r="A35" s="5" t="inlineStr">
        <is>
          <t>Cost item</t>
        </is>
      </c>
      <c r="B35" s="5" t="inlineStr">
        <is>
          <t>Calculation</t>
        </is>
      </c>
      <c r="C35" s="5" t="inlineStr">
        <is>
          <t>Cost</t>
        </is>
      </c>
    </row>
    <row r="36">
      <c r="A36" s="6" t="inlineStr">
        <is>
          <t>Query embeddings / month</t>
        </is>
      </c>
      <c r="B36" s="8" t="inlineStr">
        <is>
          <t>query tokens/mo x price/1M</t>
        </is>
      </c>
      <c r="C36" s="11">
        <f>B14/1000000*B31</f>
        <v/>
      </c>
    </row>
    <row r="37">
      <c r="A37" s="6" t="inlineStr">
        <is>
          <t>Managed vector DB / month</t>
        </is>
      </c>
      <c r="B37" s="8" t="inlineStr">
        <is>
          <t>fixed</t>
        </is>
      </c>
      <c r="C37" s="11">
        <f>B32</f>
        <v/>
      </c>
    </row>
    <row r="38">
      <c r="A38" s="6" t="inlineStr">
        <is>
          <t>Cloud hosting / month</t>
        </is>
      </c>
      <c r="B38" s="8" t="inlineStr">
        <is>
          <t>fixed</t>
        </is>
      </c>
      <c r="C38" s="11">
        <f>B33</f>
        <v/>
      </c>
    </row>
    <row r="39">
      <c r="A39" s="6" t="inlineStr">
        <is>
          <t>LLM generation / month</t>
        </is>
      </c>
      <c r="B39" s="8" t="inlineStr">
        <is>
          <t>not used - retrieval only</t>
        </is>
      </c>
      <c r="C39" s="11" t="n">
        <v>0</v>
      </c>
    </row>
    <row r="40">
      <c r="A40" s="12" t="inlineStr">
        <is>
          <t>TOTAL MONTHLY - Solution B</t>
        </is>
      </c>
      <c r="B40" s="6" t="inlineStr"/>
      <c r="C40" s="13">
        <f>SUM(C36:C39)</f>
        <v/>
      </c>
    </row>
    <row r="41">
      <c r="A41" s="12" t="inlineStr">
        <is>
          <t>One-time index embedding</t>
        </is>
      </c>
      <c r="B41" s="8" t="inlineStr">
        <is>
          <t>index tokens x price/1M</t>
        </is>
      </c>
      <c r="C41" s="13">
        <f>B17/1000000*B31</f>
        <v/>
      </c>
    </row>
    <row r="43">
      <c r="A43" s="4" t="inlineStr">
        <is>
          <t>D.  SUMMARY</t>
        </is>
      </c>
    </row>
    <row r="44">
      <c r="A44" s="5" t="inlineStr">
        <is>
          <t>Solution</t>
        </is>
      </c>
      <c r="B44" s="5" t="inlineStr">
        <is>
          <t>Monthly Cost</t>
        </is>
      </c>
      <c r="C44" s="5" t="inlineStr">
        <is>
          <t>One-time</t>
        </is>
      </c>
    </row>
    <row r="45">
      <c r="A45" s="6" t="inlineStr">
        <is>
          <t>A - Chosen (Local / Free)</t>
        </is>
      </c>
      <c r="B45" s="11">
        <f>C26</f>
        <v/>
      </c>
      <c r="C45" s="11">
        <f>C27</f>
        <v/>
      </c>
    </row>
    <row r="46">
      <c r="A46" s="6" t="inlineStr">
        <is>
          <t>B - Paid Cloud Alternative</t>
        </is>
      </c>
      <c r="B46" s="11">
        <f>C40</f>
        <v/>
      </c>
      <c r="C46" s="11">
        <f>C41</f>
        <v/>
      </c>
    </row>
    <row r="47" ht="30" customHeight="1">
      <c r="A47" s="16" t="inlineStr">
        <is>
          <t>Decision: Solution A ships. It is ~$0 and keeps proprietary content local (privacy). Even the paid alternative is pennies/month because the design is retrieval-only (no LLM generation).</t>
        </is>
      </c>
    </row>
    <row r="49">
      <c r="A49" s="4" t="inlineStr">
        <is>
          <t>E.  WHY RETRIEVAL-ONLY (NO LLM) SAVES MONEY</t>
        </is>
      </c>
    </row>
    <row r="50">
      <c r="A50" s="2" t="inlineStr">
        <is>
          <t>If we had used an LLM to GENERATE answers instead of just retrieving:</t>
        </is>
      </c>
    </row>
    <row r="51">
      <c r="A51" s="6" t="inlineStr">
        <is>
          <t>Avg LLM tokens per query</t>
        </is>
      </c>
      <c r="B51" s="7" t="n">
        <v>1000</v>
      </c>
    </row>
    <row r="52">
      <c r="A52" s="6" t="inlineStr">
        <is>
          <t>LLM price per 1M tokens ($)</t>
        </is>
      </c>
      <c r="B52" s="15" t="n">
        <v>0.5</v>
      </c>
    </row>
    <row r="53">
      <c r="A53" s="12" t="inlineStr">
        <is>
          <t>LLM cost per month (avoided)</t>
        </is>
      </c>
      <c r="B53" s="13">
        <f>B12*B51/1000000*B52</f>
        <v/>
      </c>
    </row>
    <row r="54" ht="30" customHeight="1">
      <c r="A54" s="16" t="inlineStr">
        <is>
          <t>This monthly cost is AVOIDED entirely by choosing retrieval (search) over generation. Cost shaped the design - exactly what the brief asks for.</t>
        </is>
      </c>
    </row>
  </sheetData>
  <mergeCells count="10">
    <mergeCell ref="A1:D1"/>
    <mergeCell ref="A6:D6"/>
    <mergeCell ref="A4:D4"/>
    <mergeCell ref="A54:D54"/>
    <mergeCell ref="A29:D29"/>
    <mergeCell ref="A43:D43"/>
    <mergeCell ref="A19:D19"/>
    <mergeCell ref="A2:D2"/>
    <mergeCell ref="A47:D47"/>
    <mergeCell ref="A49:D4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2026-09-07T00:13:03Z</dcterms:created>
  <dcterms:modified xmlns:dcterms="http://purl.org/dc/terms/" xmlns:xsi="http://www.w3.org/2001/XMLSchema-instance" xsi:type="dcterms:W3CDTF">2026-09-07T00:19:06Z</dcterms:modified>
</cp:coreProperties>
</file>